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60" windowHeight="7680"/>
  </bookViews>
  <sheets>
    <sheet name="Morning Dashboard" sheetId="1" r:id="rId1"/>
  </sheets>
  <calcPr calcId="152511"/>
</workbook>
</file>

<file path=xl/calcChain.xml><?xml version="1.0" encoding="utf-8"?>
<calcChain xmlns="http://schemas.openxmlformats.org/spreadsheetml/2006/main">
  <c r="G13" i="1" l="1"/>
  <c r="G12" i="1"/>
  <c r="G11" i="1"/>
  <c r="G10" i="1"/>
  <c r="G9" i="1"/>
  <c r="G8" i="1"/>
  <c r="G7" i="1"/>
  <c r="G6" i="1"/>
  <c r="G5" i="1"/>
  <c r="G4" i="1"/>
  <c r="B16" i="1" l="1"/>
  <c r="B18" i="1"/>
  <c r="B17" i="1"/>
</calcChain>
</file>

<file path=xl/sharedStrings.xml><?xml version="1.0" encoding="utf-8"?>
<sst xmlns="http://schemas.openxmlformats.org/spreadsheetml/2006/main" count="118" uniqueCount="75">
  <si>
    <t>NIFTY 50 MORNING DASHBOARD</t>
  </si>
  <si>
    <t>Snapshot: 24-Sep-2026 | pre-10:00 IST visible chart snapshot | Groww One Day / 5-minute primary charts where supplied</t>
  </si>
  <si>
    <t>#</t>
  </si>
  <si>
    <t>Indicator</t>
  </si>
  <si>
    <t>Morning Input</t>
  </si>
  <si>
    <t>Signal</t>
  </si>
  <si>
    <t>Score</t>
  </si>
  <si>
    <t>Weight</t>
  </si>
  <si>
    <t>Weighted Score</t>
  </si>
  <si>
    <t>Notes</t>
  </si>
  <si>
    <t>GIFT Nifty</t>
  </si>
  <si>
    <t>Bearish</t>
  </si>
  <si>
    <t>US Markets</t>
  </si>
  <si>
    <t>Asian Markets</t>
  </si>
  <si>
    <t>Neutral</t>
  </si>
  <si>
    <t>FII Activity</t>
  </si>
  <si>
    <t>Bullish</t>
  </si>
  <si>
    <t>DII Activity</t>
  </si>
  <si>
    <t>Bank Nifty</t>
  </si>
  <si>
    <t>India VIX</t>
  </si>
  <si>
    <t>USD/INR</t>
  </si>
  <si>
    <t>Crude Oil</t>
  </si>
  <si>
    <t>NIFTY Technicals</t>
  </si>
  <si>
    <t>TOTAL WEIGHTED SCORE</t>
  </si>
  <si>
    <t>Scoring</t>
  </si>
  <si>
    <t>MARKET BIAS</t>
  </si>
  <si>
    <t>Bullish = +1</t>
  </si>
  <si>
    <t>ACTION</t>
  </si>
  <si>
    <t>Bearish = -1</t>
  </si>
  <si>
    <t>10:00 AM CONFIRMATION</t>
  </si>
  <si>
    <t>Suggested use</t>
  </si>
  <si>
    <t>OR breakout confirms bias?</t>
  </si>
  <si>
    <t>Exact 9:15–10:00 opening-range LOW is not numerically printed in the screenshot; no guess made.</t>
  </si>
  <si>
    <t>Bank Nifty confirms bias?</t>
  </si>
  <si>
    <t>Bearish confirmation: 55,583.35 &lt; EMA 55,993.48 and RSI 20.49 &lt; 50.</t>
  </si>
  <si>
    <t>NIFTY vs 20 EMA confirms bias?</t>
  </si>
  <si>
    <t>Bearish confirmation: 23,222.20 &lt; EMA 23,316.68.</t>
  </si>
  <si>
    <t>RSI confirms bias?</t>
  </si>
  <si>
    <t>Bearish confirmation: NIFTY RSI 25.38 &lt; 50.</t>
  </si>
  <si>
    <t>India VIX behaving normally?</t>
  </si>
  <si>
    <t>VIX 11.44 vs EMA 10.91 with RSI 82.69 and a sharp intraday rise; not normal/stable under the dashboard rule.</t>
  </si>
  <si>
    <t>FINAL TRADE DECISION</t>
  </si>
  <si>
    <t>Reason: weighted score is mildly bearish (-4.0), but bearish confirmation is incomplete: opening-range LOW is UNCLEAR and India VIX is sharply elevated rather than behaving normally. Under the user's rules, do not issue BUY PE without complete confirmation.</t>
  </si>
  <si>
    <t>Criterion</t>
  </si>
  <si>
    <t>Primary Source</t>
  </si>
  <si>
    <t>Cross-check 1</t>
  </si>
  <si>
    <t>Cross-check 2</t>
  </si>
  <si>
    <t>Final Value</t>
  </si>
  <si>
    <t>Status / discrepancy</t>
  </si>
  <si>
    <t>Source URLs</t>
  </si>
  <si>
    <t>NSE India</t>
  </si>
  <si>
    <t>Moneycontrol</t>
  </si>
  <si>
    <t>BlinkX</t>
  </si>
  <si>
    <t>nseindia.com | moneycontrol.com | blinkx.in/indices/gift-nifty | upstox.com</t>
  </si>
  <si>
    <t>MarketWatch</t>
  </si>
  <si>
    <t>The Close Report</t>
  </si>
  <si>
    <t>marketwatch.com/market-data/us | moneycontrol.com | theclosereport.com</t>
  </si>
  <si>
    <t>Business Standard</t>
  </si>
  <si>
    <t>LiveIndex</t>
  </si>
  <si>
    <t>moneycontrol.com/markets/global-indices | business-standard.com | liveindex.org/asia-pacific</t>
  </si>
  <si>
    <t>FII</t>
  </si>
  <si>
    <t>NSE FII/DII</t>
  </si>
  <si>
    <t>Upstox</t>
  </si>
  <si>
    <t>nseindia.com/reports/fii-dii | moneycontrol.com | upstox.com</t>
  </si>
  <si>
    <t>DII</t>
  </si>
  <si>
    <t>User Groww screenshot</t>
  </si>
  <si>
    <t>User chart</t>
  </si>
  <si>
    <t>Investing</t>
  </si>
  <si>
    <t>Investing historical</t>
  </si>
  <si>
    <t>in.investing.com/technical/usd-inr-technical-analysis | moneycontrol.com/markets/currencies | investing.com/currencies/usd-inr-historical-data</t>
  </si>
  <si>
    <t>Investing technical</t>
  </si>
  <si>
    <t>moneycontrol.com/markets/global-indices | investing.com/commodities/brent-oil-historical-data | in.investing.com/commodities/brent-oil-technical</t>
  </si>
  <si>
    <t>take chart from open Trading API like Yahoo finace (5 min  candle on that day)</t>
  </si>
  <si>
    <t>Snapshot:Today | pre-10:00 IST visible chart snapshot |</t>
  </si>
  <si>
    <t>VERIFICATION REPORT — | pre-10:00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</si>
</sst>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</font>
    <font>
      <b/>
      <sz val="11"/>
      <name val="Calibri"/>
    </font>
    <font>
      <b/>
      <sz val="13"/>
      <name val="Calibri"/>
    </font>
    <font>
      <b/>
      <i/>
      <sz val="11"/>
      <color theme="1"/>
      <name val="Calibri"/>
    </font>
    <font>
      <b/>
      <sz val="11"/>
      <color theme="1"/>
      <name val="Calibri"/>
    </font>
    <font>
      <sz val="8"/>
      <color theme="1"/>
      <name val="Calibri"/>
    </font>
    <font>
      <sz val="10"/>
      <color theme="1"/>
      <name val="Calibri"/>
    </font>
    <font>
      <b/>
      <sz val="9"/>
      <color theme="1"/>
      <name val="Calibri"/>
    </font>
    <font>
      <sz val="9"/>
      <color theme="1"/>
      <name val="Calibri"/>
    </font>
    <font>
      <b/>
      <sz val="14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1"/>
  </cellStyleXfs>
  <cellXfs count="32">
    <xf numFmtId="0" fontId="0" fillId="0" borderId="0" xfId="0" applyBorder="1"/>
    <xf numFmtId="0" fontId="0" fillId="0" borderId="0" xfId="0" applyBorder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6" borderId="3" xfId="0" applyFont="1" applyFill="1" applyBorder="1" applyAlignment="1">
      <alignment vertical="top" wrapText="1"/>
    </xf>
    <xf numFmtId="0" fontId="0" fillId="8" borderId="3" xfId="0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0" fillId="0" borderId="1" xfId="0" applyAlignment="1">
      <alignment wrapText="1"/>
    </xf>
    <xf numFmtId="0" fontId="0" fillId="0" borderId="2" xfId="0" applyNumberFormat="1" applyFont="1" applyFill="1" applyBorder="1" applyAlignment="1">
      <alignment vertical="top" wrapText="1"/>
    </xf>
    <xf numFmtId="0" fontId="6" fillId="0" borderId="2" xfId="0" applyNumberFormat="1" applyFont="1" applyFill="1" applyBorder="1" applyAlignment="1">
      <alignment vertical="top" wrapText="1"/>
    </xf>
    <xf numFmtId="0" fontId="0" fillId="3" borderId="2" xfId="0" applyNumberFormat="1" applyFont="1" applyFill="1" applyBorder="1" applyAlignment="1">
      <alignment vertical="top" wrapText="1"/>
    </xf>
    <xf numFmtId="1" fontId="0" fillId="0" borderId="2" xfId="0" applyNumberFormat="1" applyFont="1" applyFill="1" applyBorder="1" applyAlignment="1">
      <alignment vertical="top" wrapText="1"/>
    </xf>
    <xf numFmtId="164" fontId="0" fillId="0" borderId="2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/>
    </xf>
    <xf numFmtId="0" fontId="0" fillId="4" borderId="2" xfId="0" applyNumberFormat="1" applyFont="1" applyFill="1" applyBorder="1" applyAlignment="1">
      <alignment vertical="top" wrapText="1"/>
    </xf>
    <xf numFmtId="0" fontId="0" fillId="5" borderId="2" xfId="0" applyNumberFormat="1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1" fillId="4" borderId="2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2" fillId="7" borderId="2" xfId="0" applyNumberFormat="1" applyFont="1" applyFill="1" applyBorder="1" applyAlignment="1">
      <alignment vertical="top" wrapText="1"/>
    </xf>
    <xf numFmtId="0" fontId="7" fillId="7" borderId="2" xfId="0" applyNumberFormat="1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9"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topLeftCell="A40" zoomScale="70" zoomScaleNormal="70" workbookViewId="0">
      <selection activeCell="E32" sqref="E32"/>
    </sheetView>
  </sheetViews>
  <sheetFormatPr defaultRowHeight="15" x14ac:dyDescent="0.25"/>
  <cols>
    <col min="1" max="1" width="12" style="1" customWidth="1"/>
    <col min="2" max="2" width="24" style="1" customWidth="1"/>
    <col min="3" max="3" width="58" style="1" customWidth="1"/>
    <col min="4" max="4" width="14" style="1" customWidth="1"/>
    <col min="5" max="6" width="10" style="1" customWidth="1"/>
    <col min="7" max="7" width="16" style="1" customWidth="1"/>
    <col min="8" max="8" width="72" style="1" customWidth="1"/>
    <col min="9" max="9" width="65" customWidth="1"/>
  </cols>
  <sheetData>
    <row r="1" spans="1:8" x14ac:dyDescent="0.25">
      <c r="A1" s="30" t="s">
        <v>0</v>
      </c>
      <c r="B1" s="31"/>
      <c r="C1" s="31"/>
      <c r="D1" s="31"/>
      <c r="E1" s="31"/>
      <c r="F1" s="31"/>
      <c r="G1" s="31"/>
      <c r="H1" s="31"/>
    </row>
    <row r="2" spans="1:8" x14ac:dyDescent="0.25">
      <c r="A2" s="28" t="s">
        <v>73</v>
      </c>
      <c r="B2" s="29" t="s">
        <v>1</v>
      </c>
      <c r="C2" s="29" t="s">
        <v>1</v>
      </c>
      <c r="D2" s="29" t="s">
        <v>1</v>
      </c>
      <c r="E2" s="29" t="s">
        <v>1</v>
      </c>
      <c r="F2" s="29" t="s">
        <v>1</v>
      </c>
      <c r="G2" s="29" t="s">
        <v>1</v>
      </c>
      <c r="H2" s="29" t="s">
        <v>1</v>
      </c>
    </row>
    <row r="3" spans="1:8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8" s="1" customFormat="1" ht="63.95" customHeight="1" x14ac:dyDescent="0.25">
      <c r="A4" s="13">
        <v>1</v>
      </c>
      <c r="B4" s="13" t="s">
        <v>10</v>
      </c>
      <c r="C4" s="14"/>
      <c r="D4" s="15" t="s">
        <v>11</v>
      </c>
      <c r="E4" s="16"/>
      <c r="F4" s="17">
        <v>1.5</v>
      </c>
      <c r="G4" s="17">
        <f t="shared" ref="G4:G13" si="0">E4*F4</f>
        <v>0</v>
      </c>
      <c r="H4" s="18"/>
    </row>
    <row r="5" spans="1:8" s="1" customFormat="1" ht="63.95" customHeight="1" x14ac:dyDescent="0.25">
      <c r="A5" s="13">
        <v>2</v>
      </c>
      <c r="B5" s="13" t="s">
        <v>12</v>
      </c>
      <c r="C5" s="14"/>
      <c r="D5" s="19" t="s">
        <v>11</v>
      </c>
      <c r="E5" s="16"/>
      <c r="F5" s="17">
        <v>1</v>
      </c>
      <c r="G5" s="17">
        <f t="shared" si="0"/>
        <v>0</v>
      </c>
      <c r="H5" s="18"/>
    </row>
    <row r="6" spans="1:8" s="1" customFormat="1" ht="63.95" customHeight="1" x14ac:dyDescent="0.25">
      <c r="A6" s="13">
        <v>3</v>
      </c>
      <c r="B6" s="13" t="s">
        <v>13</v>
      </c>
      <c r="C6" s="14"/>
      <c r="D6" s="20" t="s">
        <v>14</v>
      </c>
      <c r="E6" s="16"/>
      <c r="F6" s="17">
        <v>1</v>
      </c>
      <c r="G6" s="17">
        <f t="shared" si="0"/>
        <v>0</v>
      </c>
      <c r="H6" s="18"/>
    </row>
    <row r="7" spans="1:8" s="1" customFormat="1" ht="63.95" customHeight="1" x14ac:dyDescent="0.25">
      <c r="A7" s="13">
        <v>4</v>
      </c>
      <c r="B7" s="13" t="s">
        <v>15</v>
      </c>
      <c r="C7" s="14"/>
      <c r="D7" s="15" t="s">
        <v>16</v>
      </c>
      <c r="E7" s="16"/>
      <c r="F7" s="17">
        <v>1.5</v>
      </c>
      <c r="G7" s="17">
        <f t="shared" si="0"/>
        <v>0</v>
      </c>
      <c r="H7" s="18"/>
    </row>
    <row r="8" spans="1:8" s="1" customFormat="1" ht="63.95" customHeight="1" x14ac:dyDescent="0.25">
      <c r="A8" s="13">
        <v>5</v>
      </c>
      <c r="B8" s="13" t="s">
        <v>17</v>
      </c>
      <c r="C8" s="14"/>
      <c r="D8" s="20" t="s">
        <v>16</v>
      </c>
      <c r="E8" s="16"/>
      <c r="F8" s="17">
        <v>0.5</v>
      </c>
      <c r="G8" s="17">
        <f t="shared" si="0"/>
        <v>0</v>
      </c>
      <c r="H8" s="18"/>
    </row>
    <row r="9" spans="1:8" s="1" customFormat="1" ht="63.95" customHeight="1" x14ac:dyDescent="0.25">
      <c r="A9" s="13">
        <v>6</v>
      </c>
      <c r="B9" s="13" t="s">
        <v>18</v>
      </c>
      <c r="C9" s="14"/>
      <c r="D9" s="20" t="s">
        <v>11</v>
      </c>
      <c r="E9" s="16"/>
      <c r="F9" s="17">
        <v>1.5</v>
      </c>
      <c r="G9" s="17">
        <f t="shared" si="0"/>
        <v>0</v>
      </c>
      <c r="H9" s="18"/>
    </row>
    <row r="10" spans="1:8" s="1" customFormat="1" ht="63.95" customHeight="1" x14ac:dyDescent="0.25">
      <c r="A10" s="13">
        <v>7</v>
      </c>
      <c r="B10" s="13" t="s">
        <v>19</v>
      </c>
      <c r="C10" s="14"/>
      <c r="D10" s="20" t="s">
        <v>11</v>
      </c>
      <c r="E10" s="16"/>
      <c r="F10" s="17">
        <v>1</v>
      </c>
      <c r="G10" s="17">
        <f t="shared" si="0"/>
        <v>0</v>
      </c>
      <c r="H10" s="18"/>
    </row>
    <row r="11" spans="1:8" s="1" customFormat="1" ht="63.95" customHeight="1" x14ac:dyDescent="0.25">
      <c r="A11" s="13">
        <v>8</v>
      </c>
      <c r="B11" s="13" t="s">
        <v>20</v>
      </c>
      <c r="C11" s="14"/>
      <c r="D11" s="20" t="s">
        <v>14</v>
      </c>
      <c r="E11" s="16"/>
      <c r="F11" s="17">
        <v>0.5</v>
      </c>
      <c r="G11" s="17">
        <f t="shared" si="0"/>
        <v>0</v>
      </c>
      <c r="H11" s="18"/>
    </row>
    <row r="12" spans="1:8" s="1" customFormat="1" ht="63.95" customHeight="1" x14ac:dyDescent="0.25">
      <c r="A12" s="13">
        <v>9</v>
      </c>
      <c r="B12" s="13" t="s">
        <v>21</v>
      </c>
      <c r="C12" s="14"/>
      <c r="D12" s="20" t="s">
        <v>16</v>
      </c>
      <c r="E12" s="16"/>
      <c r="F12" s="17">
        <v>0.5</v>
      </c>
      <c r="G12" s="17">
        <f t="shared" si="0"/>
        <v>0</v>
      </c>
      <c r="H12" s="18"/>
    </row>
    <row r="13" spans="1:8" s="1" customFormat="1" ht="63.95" customHeight="1" x14ac:dyDescent="0.25">
      <c r="A13" s="13">
        <v>10</v>
      </c>
      <c r="B13" s="13" t="s">
        <v>22</v>
      </c>
      <c r="C13" s="14"/>
      <c r="D13" s="20" t="s">
        <v>11</v>
      </c>
      <c r="E13" s="16"/>
      <c r="F13" s="17">
        <v>1.5</v>
      </c>
      <c r="G13" s="17">
        <f t="shared" si="0"/>
        <v>0</v>
      </c>
      <c r="H13" s="18"/>
    </row>
    <row r="14" spans="1:8" x14ac:dyDescent="0.25">
      <c r="A14" s="3"/>
      <c r="B14" s="3"/>
      <c r="C14" s="3"/>
      <c r="D14" s="3"/>
      <c r="E14" s="3"/>
      <c r="F14" s="3"/>
      <c r="G14" s="3"/>
      <c r="H14" s="3"/>
    </row>
    <row r="15" spans="1:8" x14ac:dyDescent="0.25">
      <c r="A15" s="3"/>
      <c r="B15" s="3"/>
      <c r="C15" s="3"/>
      <c r="D15" s="3"/>
      <c r="E15" s="3"/>
      <c r="F15" s="3"/>
      <c r="G15" s="3"/>
      <c r="H15" s="3"/>
    </row>
    <row r="16" spans="1:8" ht="45" x14ac:dyDescent="0.25">
      <c r="A16" s="5" t="s">
        <v>23</v>
      </c>
      <c r="B16" s="6">
        <f>SUM(G4:G13)</f>
        <v>0</v>
      </c>
      <c r="C16" s="3"/>
      <c r="D16" s="3" t="s">
        <v>24</v>
      </c>
      <c r="E16" s="3"/>
      <c r="F16" s="3"/>
      <c r="G16" s="3"/>
      <c r="H16" s="3"/>
    </row>
    <row r="17" spans="1:9" ht="30" x14ac:dyDescent="0.25">
      <c r="A17" s="5" t="s">
        <v>25</v>
      </c>
      <c r="B17" s="7" t="str">
        <f>IF(B16&gt;=6,"STRONG BULLISH",IF(B16&gt;=3,"MILD BULLISH",IF(B16&lt;=-6,"STRONG BEARISH",IF(B16&lt;=-3,"MILD BEARISH","NEUTRAL"))))</f>
        <v>NEUTRAL</v>
      </c>
      <c r="C17" s="3"/>
      <c r="D17" s="3" t="s">
        <v>26</v>
      </c>
      <c r="E17" s="3"/>
      <c r="F17" s="3"/>
      <c r="G17" s="3"/>
      <c r="H17" s="3"/>
    </row>
    <row r="18" spans="1:9" ht="17.25" x14ac:dyDescent="0.25">
      <c r="A18" s="5" t="s">
        <v>27</v>
      </c>
      <c r="B18" s="7" t="str">
        <f>IF(B16&gt;=6,"BUY BIAS",IF(B16&gt;=3,"BUY ON CONFIRMATION",IF(B16&lt;=-6,"SELL/PUT BIAS",IF(B16&lt;=-3,"SELL ON CONFIRMATION","WAIT / RANGE TRADE"))))</f>
        <v>WAIT / RANGE TRADE</v>
      </c>
      <c r="C18" s="8"/>
      <c r="D18" s="3" t="s">
        <v>28</v>
      </c>
      <c r="E18" s="3"/>
      <c r="F18" s="3"/>
      <c r="G18" s="3"/>
      <c r="H18" s="3"/>
    </row>
    <row r="19" spans="1:9" x14ac:dyDescent="0.25">
      <c r="A19" s="3"/>
      <c r="B19" s="3"/>
      <c r="C19" s="3"/>
      <c r="D19" s="3" t="s">
        <v>28</v>
      </c>
      <c r="E19" s="3"/>
      <c r="F19" s="3"/>
      <c r="G19" s="3"/>
      <c r="H19" s="3"/>
    </row>
    <row r="20" spans="1:9" ht="45" x14ac:dyDescent="0.25">
      <c r="A20" s="9" t="s">
        <v>29</v>
      </c>
      <c r="B20" s="9"/>
      <c r="C20" s="9"/>
      <c r="D20" s="9" t="s">
        <v>30</v>
      </c>
      <c r="E20" s="3"/>
      <c r="F20" s="3"/>
      <c r="G20" s="3"/>
      <c r="H20" s="3"/>
    </row>
    <row r="21" spans="1:9" ht="69" x14ac:dyDescent="0.25">
      <c r="A21" s="21" t="s">
        <v>31</v>
      </c>
      <c r="B21" s="15"/>
      <c r="C21" s="13" t="s">
        <v>32</v>
      </c>
      <c r="D21" s="13"/>
      <c r="E21" s="3"/>
      <c r="F21" s="3"/>
      <c r="G21" s="3"/>
      <c r="H21" s="3"/>
    </row>
    <row r="22" spans="1:9" s="1" customFormat="1" ht="27.95" customHeight="1" x14ac:dyDescent="0.25">
      <c r="A22" s="13" t="s">
        <v>33</v>
      </c>
      <c r="B22" s="20"/>
      <c r="C22" s="13" t="s">
        <v>34</v>
      </c>
      <c r="D22" s="13"/>
      <c r="E22" s="3"/>
      <c r="F22" s="3"/>
      <c r="G22" s="3"/>
      <c r="H22" s="3"/>
    </row>
    <row r="23" spans="1:9" s="1" customFormat="1" ht="27.95" customHeight="1" x14ac:dyDescent="0.25">
      <c r="A23" s="13" t="s">
        <v>35</v>
      </c>
      <c r="B23" s="20"/>
      <c r="C23" s="13" t="s">
        <v>36</v>
      </c>
      <c r="D23" s="13"/>
      <c r="E23" s="3"/>
      <c r="F23" s="3"/>
      <c r="G23" s="3"/>
      <c r="H23" s="3"/>
    </row>
    <row r="24" spans="1:9" s="1" customFormat="1" ht="27.95" customHeight="1" x14ac:dyDescent="0.25">
      <c r="A24" s="13" t="s">
        <v>37</v>
      </c>
      <c r="B24" s="20"/>
      <c r="C24" s="13" t="s">
        <v>38</v>
      </c>
      <c r="D24" s="13"/>
      <c r="E24" s="3"/>
      <c r="F24" s="3"/>
      <c r="G24" s="3"/>
      <c r="H24" s="3"/>
    </row>
    <row r="25" spans="1:9" s="1" customFormat="1" ht="27.95" customHeight="1" x14ac:dyDescent="0.25">
      <c r="A25" s="13" t="s">
        <v>39</v>
      </c>
      <c r="B25" s="20"/>
      <c r="C25" s="13" t="s">
        <v>40</v>
      </c>
      <c r="D25" s="13"/>
      <c r="E25" s="3"/>
      <c r="F25" s="3"/>
      <c r="G25" s="3"/>
      <c r="H25" s="3"/>
    </row>
    <row r="26" spans="1:9" s="1" customFormat="1" ht="27.95" customHeight="1" x14ac:dyDescent="0.25">
      <c r="A26" s="3"/>
      <c r="B26" s="10"/>
      <c r="C26" s="3"/>
      <c r="D26" s="3"/>
      <c r="E26" s="3"/>
      <c r="F26" s="3"/>
      <c r="G26" s="3"/>
      <c r="H26" s="3"/>
    </row>
    <row r="27" spans="1:9" x14ac:dyDescent="0.25">
      <c r="A27" s="3"/>
      <c r="B27" s="3"/>
      <c r="C27" s="3"/>
      <c r="D27" s="3"/>
      <c r="E27" s="3"/>
      <c r="F27" s="3"/>
      <c r="G27" s="3"/>
      <c r="H27" s="3"/>
    </row>
    <row r="28" spans="1:9" s="1" customFormat="1" ht="50.1" customHeight="1" x14ac:dyDescent="0.25">
      <c r="A28" s="25" t="s">
        <v>41</v>
      </c>
      <c r="B28" s="22"/>
      <c r="C28" s="26" t="s">
        <v>42</v>
      </c>
      <c r="D28" s="11"/>
      <c r="E28" s="11"/>
      <c r="F28" s="11"/>
      <c r="G28" s="11"/>
      <c r="H28" s="11"/>
    </row>
    <row r="29" spans="1:9" x14ac:dyDescent="0.25">
      <c r="A29" s="3"/>
      <c r="B29" s="3"/>
      <c r="C29" s="3"/>
      <c r="D29" s="3"/>
      <c r="E29" s="3"/>
      <c r="F29" s="3"/>
      <c r="G29" s="3"/>
      <c r="H29" s="3"/>
    </row>
    <row r="30" spans="1:9" x14ac:dyDescent="0.25">
      <c r="A30" s="27" t="s">
        <v>74</v>
      </c>
      <c r="B30" s="27"/>
      <c r="C30" s="27"/>
      <c r="D30" s="27"/>
      <c r="E30" s="27"/>
      <c r="F30" s="27"/>
      <c r="G30" s="27"/>
      <c r="H30" s="27"/>
    </row>
    <row r="31" spans="1:9" ht="30" x14ac:dyDescent="0.25">
      <c r="A31" s="23" t="s">
        <v>2</v>
      </c>
      <c r="B31" s="23" t="s">
        <v>43</v>
      </c>
      <c r="C31" s="23" t="s">
        <v>44</v>
      </c>
      <c r="D31" s="23" t="s">
        <v>45</v>
      </c>
      <c r="E31" s="23" t="s">
        <v>46</v>
      </c>
      <c r="F31" s="23" t="s">
        <v>47</v>
      </c>
      <c r="G31" s="23" t="s">
        <v>5</v>
      </c>
      <c r="H31" s="23" t="s">
        <v>48</v>
      </c>
      <c r="I31" s="24" t="s">
        <v>49</v>
      </c>
    </row>
    <row r="32" spans="1:9" s="1" customFormat="1" ht="72" customHeight="1" x14ac:dyDescent="0.25">
      <c r="A32" s="23">
        <v>1</v>
      </c>
      <c r="B32" s="23" t="s">
        <v>10</v>
      </c>
      <c r="C32" s="23" t="s">
        <v>50</v>
      </c>
      <c r="D32" s="23" t="s">
        <v>51</v>
      </c>
      <c r="E32" s="23" t="s">
        <v>52</v>
      </c>
      <c r="F32" s="23"/>
      <c r="G32" s="23"/>
      <c r="H32" s="23"/>
      <c r="I32" s="24" t="s">
        <v>53</v>
      </c>
    </row>
    <row r="33" spans="1:9" s="1" customFormat="1" ht="72" customHeight="1" x14ac:dyDescent="0.25">
      <c r="A33" s="13">
        <v>2</v>
      </c>
      <c r="B33" s="13" t="s">
        <v>12</v>
      </c>
      <c r="C33" s="13" t="s">
        <v>54</v>
      </c>
      <c r="D33" s="13" t="s">
        <v>51</v>
      </c>
      <c r="E33" s="13" t="s">
        <v>55</v>
      </c>
      <c r="F33" s="13"/>
      <c r="G33" s="13"/>
      <c r="H33" s="13"/>
      <c r="I33" s="24" t="s">
        <v>56</v>
      </c>
    </row>
    <row r="34" spans="1:9" s="1" customFormat="1" ht="72" customHeight="1" x14ac:dyDescent="0.25">
      <c r="A34" s="13">
        <v>3</v>
      </c>
      <c r="B34" s="13" t="s">
        <v>13</v>
      </c>
      <c r="C34" s="13" t="s">
        <v>51</v>
      </c>
      <c r="D34" s="13" t="s">
        <v>57</v>
      </c>
      <c r="E34" s="13" t="s">
        <v>58</v>
      </c>
      <c r="F34" s="13"/>
      <c r="G34" s="13"/>
      <c r="H34" s="13"/>
      <c r="I34" s="24" t="s">
        <v>59</v>
      </c>
    </row>
    <row r="35" spans="1:9" s="1" customFormat="1" ht="72" customHeight="1" x14ac:dyDescent="0.25">
      <c r="A35" s="13">
        <v>4</v>
      </c>
      <c r="B35" s="13" t="s">
        <v>60</v>
      </c>
      <c r="C35" s="13" t="s">
        <v>61</v>
      </c>
      <c r="D35" s="13" t="s">
        <v>51</v>
      </c>
      <c r="E35" s="13" t="s">
        <v>62</v>
      </c>
      <c r="F35" s="13"/>
      <c r="G35" s="13"/>
      <c r="H35" s="13"/>
      <c r="I35" s="24" t="s">
        <v>63</v>
      </c>
    </row>
    <row r="36" spans="1:9" s="1" customFormat="1" ht="72" customHeight="1" x14ac:dyDescent="0.25">
      <c r="A36" s="13">
        <v>5</v>
      </c>
      <c r="B36" s="13" t="s">
        <v>64</v>
      </c>
      <c r="C36" s="13" t="s">
        <v>61</v>
      </c>
      <c r="D36" s="13" t="s">
        <v>51</v>
      </c>
      <c r="E36" s="13" t="s">
        <v>62</v>
      </c>
      <c r="F36" s="13"/>
      <c r="G36" s="13"/>
      <c r="H36" s="13"/>
      <c r="I36" s="24" t="s">
        <v>63</v>
      </c>
    </row>
    <row r="37" spans="1:9" s="1" customFormat="1" ht="72" customHeight="1" x14ac:dyDescent="0.25">
      <c r="A37" s="13">
        <v>6</v>
      </c>
      <c r="B37" s="13" t="s">
        <v>18</v>
      </c>
      <c r="C37" s="13" t="s">
        <v>65</v>
      </c>
      <c r="D37" s="13" t="s">
        <v>66</v>
      </c>
      <c r="E37" s="13" t="s">
        <v>66</v>
      </c>
      <c r="F37" s="13"/>
      <c r="G37" s="13"/>
      <c r="H37" s="13"/>
      <c r="I37" s="24" t="s">
        <v>72</v>
      </c>
    </row>
    <row r="38" spans="1:9" s="1" customFormat="1" ht="72" customHeight="1" x14ac:dyDescent="0.25">
      <c r="A38" s="13">
        <v>7</v>
      </c>
      <c r="B38" s="13" t="s">
        <v>19</v>
      </c>
      <c r="C38" s="13" t="s">
        <v>65</v>
      </c>
      <c r="D38" s="13" t="s">
        <v>66</v>
      </c>
      <c r="E38" s="13" t="s">
        <v>66</v>
      </c>
      <c r="F38" s="13"/>
      <c r="G38" s="13"/>
      <c r="H38" s="13"/>
      <c r="I38" s="24" t="s">
        <v>72</v>
      </c>
    </row>
    <row r="39" spans="1:9" s="1" customFormat="1" ht="72" customHeight="1" x14ac:dyDescent="0.25">
      <c r="A39" s="13">
        <v>8</v>
      </c>
      <c r="B39" s="13" t="s">
        <v>20</v>
      </c>
      <c r="C39" s="13" t="s">
        <v>67</v>
      </c>
      <c r="D39" s="13" t="s">
        <v>51</v>
      </c>
      <c r="E39" s="13" t="s">
        <v>68</v>
      </c>
      <c r="F39" s="13"/>
      <c r="G39" s="13"/>
      <c r="H39" s="13"/>
      <c r="I39" s="24" t="s">
        <v>69</v>
      </c>
    </row>
    <row r="40" spans="1:9" s="1" customFormat="1" ht="72" customHeight="1" x14ac:dyDescent="0.25">
      <c r="A40" s="13">
        <v>9</v>
      </c>
      <c r="B40" s="13" t="s">
        <v>21</v>
      </c>
      <c r="C40" s="13" t="s">
        <v>51</v>
      </c>
      <c r="D40" s="13" t="s">
        <v>67</v>
      </c>
      <c r="E40" s="13" t="s">
        <v>70</v>
      </c>
      <c r="F40" s="13"/>
      <c r="G40" s="13"/>
      <c r="H40" s="13"/>
      <c r="I40" s="24" t="s">
        <v>71</v>
      </c>
    </row>
    <row r="41" spans="1:9" s="1" customFormat="1" ht="72" customHeight="1" x14ac:dyDescent="0.25">
      <c r="A41" s="13">
        <v>10</v>
      </c>
      <c r="B41" s="13" t="s">
        <v>22</v>
      </c>
      <c r="C41" s="13" t="s">
        <v>65</v>
      </c>
      <c r="D41" s="13" t="s">
        <v>66</v>
      </c>
      <c r="E41" s="13" t="s">
        <v>66</v>
      </c>
      <c r="F41" s="13"/>
      <c r="G41" s="13"/>
      <c r="H41" s="13"/>
      <c r="I41" s="24" t="s">
        <v>72</v>
      </c>
    </row>
    <row r="42" spans="1:9" s="1" customFormat="1" ht="51.95" customHeight="1" x14ac:dyDescent="0.25">
      <c r="A42" s="2"/>
      <c r="B42" s="2"/>
      <c r="C42" s="2"/>
      <c r="D42" s="2"/>
      <c r="E42" s="2"/>
      <c r="F42" s="2"/>
      <c r="G42" s="2"/>
      <c r="H42" s="2"/>
    </row>
    <row r="43" spans="1:9" x14ac:dyDescent="0.25">
      <c r="A43" s="12"/>
    </row>
  </sheetData>
  <mergeCells count="3">
    <mergeCell ref="A30:H30"/>
    <mergeCell ref="A2:H2"/>
    <mergeCell ref="A1:H1"/>
  </mergeCells>
  <conditionalFormatting sqref="G4:G13">
    <cfRule type="cellIs" dxfId="8" priority="1" operator="greaterThan">
      <formula>0</formula>
    </cfRule>
    <cfRule type="cellIs" dxfId="7" priority="2" operator="lessThan">
      <formula>0</formula>
    </cfRule>
  </conditionalFormatting>
  <conditionalFormatting sqref="B16">
    <cfRule type="cellIs" dxfId="6" priority="3" operator="greaterThanOrEqual">
      <formula>3</formula>
    </cfRule>
    <cfRule type="cellIs" dxfId="5" priority="4" operator="lessThanOrEqual">
      <formula>-3</formula>
    </cfRule>
  </conditionalFormatting>
  <conditionalFormatting sqref="D4:D13">
    <cfRule type="expression" dxfId="4" priority="5">
      <formula>D4="Bullish"</formula>
    </cfRule>
    <cfRule type="expression" dxfId="3" priority="6">
      <formula>D4="Bearish"</formula>
    </cfRule>
  </conditionalFormatting>
  <conditionalFormatting sqref="B22:B26">
    <cfRule type="expression" dxfId="2" priority="7">
      <formula>B22="YES"</formula>
    </cfRule>
    <cfRule type="expression" dxfId="1" priority="8">
      <formula>B22="NO"</formula>
    </cfRule>
    <cfRule type="expression" dxfId="0" priority="9">
      <formula>B22="UNCLEAR"</formula>
    </cfRule>
  </conditionalFormatting>
  <dataValidations count="2">
    <dataValidation type="list" allowBlank="1" sqref="D4:D13">
      <formula1>"Bullish,Neutral,Bearish"</formula1>
    </dataValidation>
    <dataValidation type="list" allowBlank="1" sqref="B22:B26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Morning 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2026-10-27T11:15:30Z</dcterms:created>
  <dcterms:modified xsi:type="dcterms:W3CDTF">2026-10-27T11:27:51Z</dcterms:modified>
</cp:coreProperties>
</file>